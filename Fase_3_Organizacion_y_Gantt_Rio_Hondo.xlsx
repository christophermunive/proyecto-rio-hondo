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36ffa42a3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a de organización" sheetId="1" r:id="R5e6b9bb74c56452b"/>
    <x:sheet xmlns:r="http://schemas.openxmlformats.org/officeDocument/2006/relationships" name="Diagrama de Gantt" sheetId="2" r:id="Rea6fa68eea6f4a2c"/>
    <x:sheet xmlns:r="http://schemas.openxmlformats.org/officeDocument/2006/relationships" name="Avance del proyecto" sheetId="3" r:id="R2d7559dbda08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0"/>
      <x:color rgb="FF000000"/>
      <x:name val="Carlito"/>
    </x:font>
    <x:font>
      <x:b/>
      <x:sz val="11"/>
      <x:color rgb="FF4472C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B4C6E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4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9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20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21" xfId="0" applyNumberFormat="1" applyFont="1" applyFill="1" applyBorder="1" applyAlignment="1">
      <x:alignment vertical="top" wrapText="1"/>
    </x:xf>
    <x:xf numFmtId="0" fontId="0" fillId="7" borderId="22" xfId="0" applyNumberFormat="1" applyFont="1" applyFill="1" applyBorder="1" applyAlignment="1">
      <x:alignment vertical="top" wrapText="1"/>
    </x:xf>
    <x:xf numFmtId="0" fontId="0" fillId="7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0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28" xfId="0" applyNumberFormat="1" applyFont="1" applyFill="1" applyBorder="1" applyAlignment="1">
      <x:alignment horizontal="center"/>
    </x:xf>
    <x:xf numFmtId="0" fontId="0" fillId="0" borderId="30" xfId="0" applyNumberFormat="1" applyFont="1" applyFill="1" applyBorder="1" applyAlignment="1">
      <x:alignment horizontal="center"/>
    </x:xf>
    <x:xf numFmtId="0" fontId="0" fillId="0" borderId="31" xfId="0" applyNumberFormat="1" applyFont="1" applyFill="1" applyBorder="1" applyAlignment="1">
      <x:alignment horizontal="center"/>
    </x:xf>
    <x:xf numFmtId="0" fontId="0" fillId="0" borderId="33" xfId="0" applyNumberFormat="1" applyFont="1" applyFill="1" applyBorder="1" applyAlignment="1">
      <x:alignment horizontal="center"/>
    </x:xf>
    <x:xf numFmtId="0" fontId="0" fillId="0" borderId="34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36" xfId="0" applyNumberFormat="1" applyFont="1" applyFill="1" applyBorder="1" applyAlignment="1">
      <x:alignment horizontal="center"/>
    </x:xf>
    <x:xf numFmtId="0" fontId="0" fillId="0" borderId="38" xfId="0" applyNumberFormat="1" applyFont="1" applyFill="1" applyBorder="1" applyAlignment="1">
      <x:alignment horizontal="center"/>
    </x:xf>
    <x:xf numFmtId="0" fontId="0" fillId="0" borderId="39" xfId="0" applyNumberFormat="1" applyFont="1" applyFill="1" applyBorder="1" applyAlignment="1">
      <x:alignment horizontal="center"/>
    </x:xf>
    <x:xf numFmtId="0" fontId="4" fillId="0" borderId="25" xfId="0" applyNumberFormat="1" applyFont="1" applyFill="1" applyBorder="1" applyAlignment="1">
      <x:alignment horizontal="center"/>
    </x:xf>
    <x:xf numFmtId="0" fontId="4" fillId="0" borderId="26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28" xfId="0" applyNumberFormat="1" applyFont="1" applyFill="1" applyBorder="1" applyAlignment="1">
      <x:alignment horizontal="center"/>
    </x:xf>
    <x:xf numFmtId="0" fontId="4" fillId="0" borderId="30" xfId="0" applyNumberFormat="1" applyFont="1" applyFill="1" applyBorder="1" applyAlignment="1">
      <x:alignment horizontal="center"/>
    </x:xf>
    <x:xf numFmtId="0" fontId="4" fillId="0" borderId="31" xfId="0" applyNumberFormat="1" applyFont="1" applyFill="1" applyBorder="1" applyAlignment="1">
      <x:alignment horizontal="center"/>
    </x:xf>
    <x:xf numFmtId="0" fontId="4" fillId="0" borderId="33" xfId="0" applyNumberFormat="1" applyFont="1" applyFill="1" applyBorder="1" applyAlignment="1">
      <x:alignment horizontal="center"/>
    </x:xf>
    <x:xf numFmtId="0" fontId="4" fillId="0" borderId="34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36" xfId="0" applyNumberFormat="1" applyFont="1" applyFill="1" applyBorder="1" applyAlignment="1">
      <x:alignment horizontal="center"/>
    </x:xf>
    <x:xf numFmtId="0" fontId="4" fillId="0" borderId="38" xfId="0" applyNumberFormat="1" applyFont="1" applyFill="1" applyBorder="1" applyAlignment="1">
      <x:alignment horizontal="center"/>
    </x:xf>
    <x:xf numFmtId="0" fontId="4" fillId="0" borderId="39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5" borderId="24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5" xfId="0" applyNumberFormat="1" applyFont="1" applyFill="1" applyBorder="1"/>
    <x:xf numFmtId="0" fontId="0" fillId="5" borderId="32" xfId="0" applyNumberFormat="1" applyFont="1" applyFill="1" applyBorder="1" applyAlignment="1">
      <x:alignment wrapText="1"/>
    </x:xf>
    <x:xf numFmtId="0" fontId="0" fillId="5" borderId="33" xfId="0" applyNumberFormat="1" applyFont="1" applyFill="1" applyBorder="1" applyAlignment="1">
      <x:alignment wrapText="1"/>
    </x:xf>
    <x:xf numFmtId="0" fontId="0" fillId="5" borderId="33" xfId="0" applyNumberFormat="1" applyFont="1" applyFill="1" applyBorder="1"/>
    <x:xf numFmtId="0" fontId="0" fillId="5" borderId="27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35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6" borderId="27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35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7" borderId="27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35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29" xfId="0" applyNumberFormat="1" applyFont="1" applyFill="1" applyBorder="1" applyAlignment="1">
      <x:alignment wrapText="1"/>
    </x:xf>
    <x:xf numFmtId="0" fontId="0" fillId="7" borderId="30" xfId="0" applyNumberFormat="1" applyFont="1" applyFill="1" applyBorder="1" applyAlignment="1">
      <x:alignment wrapText="1"/>
    </x:xf>
    <x:xf numFmtId="0" fontId="0" fillId="7" borderId="30" xfId="0" applyNumberFormat="1" applyFont="1" applyFill="1" applyBorder="1"/>
    <x:xf numFmtId="0" fontId="0" fillId="7" borderId="37" xfId="0" applyNumberFormat="1" applyFont="1" applyFill="1" applyBorder="1" applyAlignment="1">
      <x:alignment wrapText="1"/>
    </x:xf>
    <x:xf numFmtId="0" fontId="0" fillId="7" borderId="38" xfId="0" applyNumberFormat="1" applyFont="1" applyFill="1" applyBorder="1" applyAlignment="1">
      <x:alignment wrapText="1"/>
    </x:xf>
    <x:xf numFmtId="0" fontId="0" fillId="7" borderId="38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754ca820a4408" /><Relationship Type="http://schemas.openxmlformats.org/officeDocument/2006/relationships/theme" Target="/xl/theme/theme1.xml" Id="Re1cfcbad1f204d86" /><Relationship Type="http://schemas.openxmlformats.org/officeDocument/2006/relationships/sharedStrings" Target="/xl/sharedStrings.xml" Id="Re0907795c6564ec6" /><Relationship Type="http://schemas.openxmlformats.org/officeDocument/2006/relationships/worksheet" Target="/xl/worksheets/sheet1.xml" Id="R5e6b9bb74c56452b" /><Relationship Type="http://schemas.openxmlformats.org/officeDocument/2006/relationships/worksheet" Target="/xl/worksheets/sheet2.xml" Id="Rea6fa68eea6f4a2c" /><Relationship Type="http://schemas.openxmlformats.org/officeDocument/2006/relationships/worksheet" Target="/xl/worksheets/sheet3.xml" Id="R2d7559dbda0847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3" hidden="0" customWidth="1"/>
    <x:col min="4" max="4" width="13" hidden="0" customWidth="1"/>
    <x:col min="5" max="5" width="14" hidden="0" customWidth="1"/>
    <x:col min="6" max="6" width="38" hidden="0" customWidth="1"/>
    <x:col min="7" max="7" width="28" hidden="0" customWidth="1"/>
    <x:col min="8" max="8" width="28" hidden="0" customWidth="1"/>
    <x:col min="9" max="9" width="25" hidden="0" customWidth="1"/>
    <x:col min="10" max="10" width="30" hidden="0" customWidth="1"/>
  </x:cols>
  <x:sheetData>
    <x:row r="1" ht="30" customHeight="1">
      <x:c r="A1" s="6" t="str">
        <x:v>FASE 3. ORGANIZACIÓN: ACTIVIDADES, TAREAS, RECURSOS Y TIEMPOS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6" customHeight="1">
      <x:c r="A2" s="16" t="str">
        <x:v>Proyecto: Programa comunitario de manejo responsable de residuos y limpieza del Río Hondo en la colonia El Molinito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4" ht="45" customHeight="1">
      <x:c r="A4" s="33" t="str">
        <x:v>Fase</x:v>
      </x:c>
      <x:c r="B4" s="34" t="str">
        <x:v>Actividades</x:v>
      </x:c>
      <x:c r="C4" s="34" t="str">
        <x:v>Tiempo total de la actividad</x:v>
      </x:c>
      <x:c r="D4" s="34" t="str">
        <x:v>Tiempo de inicio</x:v>
      </x:c>
      <x:c r="E4" s="34" t="str">
        <x:v>Tiempo de conclusión</x:v>
      </x:c>
      <x:c r="F4" s="34" t="str">
        <x:v>Tareas</x:v>
      </x:c>
      <x:c r="G4" s="34" t="str">
        <x:v>Recursos materiales</x:v>
      </x:c>
      <x:c r="H4" s="34" t="str">
        <x:v>Recursos tecnológicos</x:v>
      </x:c>
      <x:c r="I4" s="34" t="str">
        <x:v>Recursos financieros</x:v>
      </x:c>
      <x:c r="J4" s="35" t="str">
        <x:v>Responsable</x:v>
      </x:c>
    </x:row>
    <x:row r="5">
      <x:c r="A5" s="70" t="str">
        <x:v>Fase inicial</x:v>
      </x:c>
      <x:c r="B5" s="71" t="str">
        <x:v>1. Realizar diagnóstico inicial e identificar puntos críticos</x:v>
      </x:c>
      <x:c r="C5" s="71" t="n">
        <x:v>2</x:v>
      </x:c>
      <x:c r="D5" s="71" t="str">
        <x:v>Semana 1</x:v>
      </x:c>
      <x:c r="E5" s="71" t="str">
        <x:v>Semana 2</x:v>
      </x:c>
      <x:c r="F5" s="71" t="str">
        <x:v>Recorrer la zona; identificar acumulaciones; registrar ubicación; tomar fotografías; elaborar diagnóstico.</x:v>
      </x:c>
      <x:c r="G5" s="71" t="str">
        <x:v>Libreta, formatos, mapas y papelería.</x:v>
      </x:c>
      <x:c r="H5" s="71" t="str">
        <x:v>Celular con cámara, GPS, Google Maps y computadora.</x:v>
      </x:c>
      <x:c r="I5" s="71" t="str">
        <x:v>Transporte local, impresiones y papelería.</x:v>
      </x:c>
      <x:c r="J5" s="72" t="str">
        <x:v>Responsable del proyecto y vecinos voluntarios.</x:v>
      </x:c>
    </x:row>
    <x:row r="6">
      <x:c r="A6" s="76" t="str">
        <x:v>Fase inicial</x:v>
      </x:c>
      <x:c r="B6" s="77" t="str">
        <x:v>2. Formar el comité vecinal de vigilancia y seguimiento</x:v>
      </x:c>
      <x:c r="C6" s="77" t="n">
        <x:v>2</x:v>
      </x:c>
      <x:c r="D6" s="77" t="str">
        <x:v>Semana 2</x:v>
      </x:c>
      <x:c r="E6" s="77" t="str">
        <x:v>Semana 3</x:v>
      </x:c>
      <x:c r="F6" s="77" t="str">
        <x:v>Convocar vecinos; registrar participantes; definir funciones; establecer medios de comunicación.</x:v>
      </x:c>
      <x:c r="G6" s="77" t="str">
        <x:v>Listas de asistencia, formatos, papelería y material informativo.</x:v>
      </x:c>
      <x:c r="H6" s="77" t="str">
        <x:v>Celulares, WhatsApp, correo electrónico y computadora.</x:v>
      </x:c>
      <x:c r="I6" s="77" t="str">
        <x:v>Impresiones y gastos menores para reuniones.</x:v>
      </x:c>
      <x:c r="J6" s="78" t="str">
        <x:v>Vecinos, representantes comunitarios y responsable del proyecto.</x:v>
      </x:c>
    </x:row>
    <x:row r="7">
      <x:c r="A7" s="76" t="str">
        <x:v>Fase inicial</x:v>
      </x:c>
      <x:c r="B7" s="77" t="str">
        <x:v>3. Coordinar actividades con autoridades municipales y servicios de limpia</x:v>
      </x:c>
      <x:c r="C7" s="77" t="n">
        <x:v>2</x:v>
      </x:c>
      <x:c r="D7" s="77" t="str">
        <x:v>Semana 3</x:v>
      </x:c>
      <x:c r="E7" s="77" t="str">
        <x:v>Semana 4</x:v>
      </x:c>
      <x:c r="F7" s="77" t="str">
        <x:v>Preparar solicitudes; presentar diagnóstico; solicitar apoyo; establecer mecanismos de reporte y seguimiento.</x:v>
      </x:c>
      <x:c r="G7" s="77" t="str">
        <x:v>Oficios, solicitudes, reportes y evidencias fotográficas.</x:v>
      </x:c>
      <x:c r="H7" s="77" t="str">
        <x:v>Computadora, celular, correo electrónico e internet.</x:v>
      </x:c>
      <x:c r="I7" s="77" t="str">
        <x:v>Transporte, impresiones y comunicaciones.</x:v>
      </x:c>
      <x:c r="J7" s="78" t="str">
        <x:v>Comité vecinal, autoridades municipales y servicios de limpia.</x:v>
      </x:c>
    </x:row>
    <x:row r="8">
      <x:c r="A8" s="82" t="str">
        <x:v>Fase desarrollo</x:v>
      </x:c>
      <x:c r="B8" s="83" t="str">
        <x:v>4. Elaborar material de educación ambiental</x:v>
      </x:c>
      <x:c r="C8" s="83" t="n">
        <x:v>2</x:v>
      </x:c>
      <x:c r="D8" s="83" t="str">
        <x:v>Semana 5</x:v>
      </x:c>
      <x:c r="E8" s="83" t="str">
        <x:v>Semana 6</x:v>
      </x:c>
      <x:c r="F8" s="83" t="str">
        <x:v>Diseñar carteles y folletos; preparar mensajes sobre separación, reciclaje y cuidado del Río Hondo.</x:v>
      </x:c>
      <x:c r="G8" s="83" t="str">
        <x:v>Carteles, folletos, hojas, señalización y material didáctico.</x:v>
      </x:c>
      <x:c r="H8" s="83" t="str">
        <x:v>Computadora, internet, Canva e impresora.</x:v>
      </x:c>
      <x:c r="I8" s="83" t="str">
        <x:v>Impresión y adquisición de materiales.</x:v>
      </x:c>
      <x:c r="J8" s="84" t="str">
        <x:v>Responsable del proyecto y voluntarios.</x:v>
      </x:c>
    </x:row>
    <x:row r="9">
      <x:c r="A9" s="82" t="str">
        <x:v>Fase desarrollo</x:v>
      </x:c>
      <x:c r="B9" s="83" t="str">
        <x:v>5. Realizar campañas de educación ambiental</x:v>
      </x:c>
      <x:c r="C9" s="83" t="n">
        <x:v>3</x:v>
      </x:c>
      <x:c r="D9" s="83" t="str">
        <x:v>Semana 7</x:v>
      </x:c>
      <x:c r="E9" s="83" t="str">
        <x:v>Semana 9</x:v>
      </x:c>
      <x:c r="F9" s="83" t="str">
        <x:v>Difundir información; realizar pláticas; promover participación; explicar separación de residuos.</x:v>
      </x:c>
      <x:c r="G9" s="83" t="str">
        <x:v>Folletos, carteles, contenedores demostrativos y material didáctico.</x:v>
      </x:c>
      <x:c r="H9" s="83" t="str">
        <x:v>Celular, computadora, proyector, redes sociales y WhatsApp.</x:v>
      </x:c>
      <x:c r="I9" s="83" t="str">
        <x:v>Impresiones, materiales y organización.</x:v>
      </x:c>
      <x:c r="J9" s="84" t="str">
        <x:v>Vecinos, estudiantes, voluntarios y representantes comunitarios.</x:v>
      </x:c>
    </x:row>
    <x:row r="10">
      <x:c r="A10" s="82" t="str">
        <x:v>Fase desarrollo</x:v>
      </x:c>
      <x:c r="B10" s="83" t="str">
        <x:v>6. Promover la separación responsable de residuos desde los hogares</x:v>
      </x:c>
      <x:c r="C10" s="83" t="n">
        <x:v>14</x:v>
      </x:c>
      <x:c r="D10" s="83" t="str">
        <x:v>Semana 7</x:v>
      </x:c>
      <x:c r="E10" s="83" t="str">
        <x:v>Semana 20</x:v>
      </x:c>
      <x:c r="F10" s="83" t="str">
        <x:v>Identificar recipientes; difundir clasificación; orientar a familias; dar seguimiento a la separación.</x:v>
      </x:c>
      <x:c r="G10" s="83" t="str">
        <x:v>Bolsas, recipientes identificados, etiquetas y carteles.</x:v>
      </x:c>
      <x:c r="H10" s="83" t="str">
        <x:v>WhatsApp, redes sociales e infografías digitales.</x:v>
      </x:c>
      <x:c r="I10" s="83" t="str">
        <x:v>Compra o adaptación de recipientes y material informativo.</x:v>
      </x:c>
      <x:c r="J10" s="84" t="str">
        <x:v>Familias de El Molinito, comité vecinal y voluntarios.</x:v>
      </x:c>
    </x:row>
    <x:row r="11">
      <x:c r="A11" s="82" t="str">
        <x:v>Fase desarrollo</x:v>
      </x:c>
      <x:c r="B11" s="83" t="str">
        <x:v>7. Planear las jornadas comunitarias de limpieza</x:v>
      </x:c>
      <x:c r="C11" s="83" t="n">
        <x:v>2</x:v>
      </x:c>
      <x:c r="D11" s="83" t="str">
        <x:v>Semana 9</x:v>
      </x:c>
      <x:c r="E11" s="83" t="str">
        <x:v>Semana 10</x:v>
      </x:c>
      <x:c r="F11" s="83" t="str">
        <x:v>Definir puntos prioritarios; convocar participantes; organizar herramientas, seguridad, transporte y disposición.</x:v>
      </x:c>
      <x:c r="G11" s="83" t="str">
        <x:v>Listas, mapas, formatos, señalización y equipo de seguridad.</x:v>
      </x:c>
      <x:c r="H11" s="83" t="str">
        <x:v>Celular, computadora, WhatsApp y mapas digitales.</x:v>
      </x:c>
      <x:c r="I11" s="83" t="str">
        <x:v>Materiales, transporte, agua y logística.</x:v>
      </x:c>
      <x:c r="J11" s="84" t="str">
        <x:v>Comité vecinal, voluntarios y autoridades municipales.</x:v>
      </x:c>
    </x:row>
    <x:row r="12">
      <x:c r="A12" s="82" t="str">
        <x:v>Fase desarrollo</x:v>
      </x:c>
      <x:c r="B12" s="83" t="str">
        <x:v>8. Realizar jornadas periódicas de limpieza</x:v>
      </x:c>
      <x:c r="C12" s="83" t="n">
        <x:v>10</x:v>
      </x:c>
      <x:c r="D12" s="83" t="str">
        <x:v>Semana 11</x:v>
      </x:c>
      <x:c r="E12" s="83" t="str">
        <x:v>Semana 20</x:v>
      </x:c>
      <x:c r="F12" s="83" t="str">
        <x:v>Ejecutar jornadas; retirar residuos; registrar participantes; documentar evidencias y volumen aproximado.</x:v>
      </x:c>
      <x:c r="G12" s="83" t="str">
        <x:v>Guantes, bolsas, costales, escobas, palas, recogedores, pinzas y chalecos.</x:v>
      </x:c>
      <x:c r="H12" s="83" t="str">
        <x:v>Celulares y cámaras.</x:v>
      </x:c>
      <x:c r="I12" s="83" t="str">
        <x:v>Consumibles, herramientas, agua y transporte.</x:v>
      </x:c>
      <x:c r="J12" s="84" t="str">
        <x:v>Vecinos voluntarios, comité vecinal y servicios de limpia.</x:v>
      </x:c>
    </x:row>
    <x:row r="13">
      <x:c r="A13" s="82" t="str">
        <x:v>Fase desarrollo</x:v>
      </x:c>
      <x:c r="B13" s="83" t="str">
        <x:v>9. Separar y entregar los residuos recolectados</x:v>
      </x:c>
      <x:c r="C13" s="83" t="n">
        <x:v>10</x:v>
      </x:c>
      <x:c r="D13" s="83" t="str">
        <x:v>Semana 11</x:v>
      </x:c>
      <x:c r="E13" s="83" t="str">
        <x:v>Semana 20</x:v>
      </x:c>
      <x:c r="F13" s="83" t="str">
        <x:v>Clasificar residuos; etiquetar; entregar a servicios de limpia o recicladores; registrar disposición.</x:v>
      </x:c>
      <x:c r="G13" s="83" t="str">
        <x:v>Contenedores, bolsas, costales, etiquetas y equipo de manipulación.</x:v>
      </x:c>
      <x:c r="H13" s="83" t="str">
        <x:v>Celular y registros digitales.</x:v>
      </x:c>
      <x:c r="I13" s="83" t="str">
        <x:v>Transporte y disposición de residuos.</x:v>
      </x:c>
      <x:c r="J13" s="84" t="str">
        <x:v>Voluntarios, servicios de limpia y recicladores.</x:v>
      </x:c>
    </x:row>
    <x:row r="14">
      <x:c r="A14" s="82" t="str">
        <x:v>Fase desarrollo</x:v>
      </x:c>
      <x:c r="B14" s="83" t="str">
        <x:v>10. Vigilar periódicamente los puntos críticos</x:v>
      </x:c>
      <x:c r="C14" s="83" t="n">
        <x:v>10</x:v>
      </x:c>
      <x:c r="D14" s="83" t="str">
        <x:v>Semana 11</x:v>
      </x:c>
      <x:c r="E14" s="83" t="str">
        <x:v>Semana 20</x:v>
      </x:c>
      <x:c r="F14" s="83" t="str">
        <x:v>Inspeccionar puntos; comparar condiciones; tomar fotografías; actualizar registros.</x:v>
      </x:c>
      <x:c r="G14" s="83" t="str">
        <x:v>Formatos de inspección, listas de verificación y señalización.</x:v>
      </x:c>
      <x:c r="H14" s="83" t="str">
        <x:v>Celular, cámara, GPS y WhatsApp.</x:v>
      </x:c>
      <x:c r="I14" s="83" t="str">
        <x:v>Transporte local y gastos menores.</x:v>
      </x:c>
      <x:c r="J14" s="84" t="str">
        <x:v>Comité vecinal y vecinos voluntarios.</x:v>
      </x:c>
    </x:row>
    <x:row r="15">
      <x:c r="A15" s="82" t="str">
        <x:v>Fase desarrollo</x:v>
      </x:c>
      <x:c r="B15" s="83" t="str">
        <x:v>11. Reportar acumulaciones, tiraderos y obstrucciones</x:v>
      </x:c>
      <x:c r="C15" s="83" t="n">
        <x:v>10</x:v>
      </x:c>
      <x:c r="D15" s="83" t="str">
        <x:v>Semana 11</x:v>
      </x:c>
      <x:c r="E15" s="83" t="str">
        <x:v>Semana 20</x:v>
      </x:c>
      <x:c r="F15" s="83" t="str">
        <x:v>Documentar incidencias; enviar reportes; dar seguimiento; registrar atención o pendientes.</x:v>
      </x:c>
      <x:c r="G15" s="83" t="str">
        <x:v>Formatos de reporte y evidencia fotográfica.</x:v>
      </x:c>
      <x:c r="H15" s="83" t="str">
        <x:v>Celular, correo, internet y plataformas de atención ciudadana.</x:v>
      </x:c>
      <x:c r="I15" s="83" t="str">
        <x:v>Comunicaciones y transporte cuando sea necesario.</x:v>
      </x:c>
      <x:c r="J15" s="84" t="str">
        <x:v>Comité vecinal, responsable del proyecto y autoridades.</x:v>
      </x:c>
    </x:row>
    <x:row r="16">
      <x:c r="A16" s="88" t="str">
        <x:v>Fase conclusión</x:v>
      </x:c>
      <x:c r="B16" s="89" t="str">
        <x:v>12. Evaluar los resultados del proyecto</x:v>
      </x:c>
      <x:c r="C16" s="89" t="n">
        <x:v>2</x:v>
      </x:c>
      <x:c r="D16" s="89" t="str">
        <x:v>Semana 21</x:v>
      </x:c>
      <x:c r="E16" s="89" t="str">
        <x:v>Semana 22</x:v>
      </x:c>
      <x:c r="F16" s="89" t="str">
        <x:v>Concentrar registros; comparar indicadores; evaluar participación, jornadas, puntos atendidos y residuos recolectados.</x:v>
      </x:c>
      <x:c r="G16" s="89" t="str">
        <x:v>Registros, listas de asistencia, formatos de evaluación y evidencias.</x:v>
      </x:c>
      <x:c r="H16" s="89" t="str">
        <x:v>Computadora, Excel, fotografías y almacenamiento digital.</x:v>
      </x:c>
      <x:c r="I16" s="89" t="str">
        <x:v>Papelería e impresiones.</x:v>
      </x:c>
      <x:c r="J16" s="90" t="str">
        <x:v>Responsable del proyecto y comité vecinal.</x:v>
      </x:c>
    </x:row>
    <x:row r="17">
      <x:c r="A17" s="94" t="str">
        <x:v>Fase conclusión</x:v>
      </x:c>
      <x:c r="B17" s="95" t="str">
        <x:v>13. Elaborar informe de resultados y acciones de mejora</x:v>
      </x:c>
      <x:c r="C17" s="95" t="n">
        <x:v>2</x:v>
      </x:c>
      <x:c r="D17" s="95" t="str">
        <x:v>Semana 23</x:v>
      </x:c>
      <x:c r="E17" s="95" t="str">
        <x:v>Semana 24</x:v>
      </x:c>
      <x:c r="F17" s="95" t="str">
        <x:v>Redactar informe; integrar evidencias; presentar resultados; definir acciones de mejora y continuidad.</x:v>
      </x:c>
      <x:c r="G17" s="95" t="str">
        <x:v>Informe, registros, fotografías y documentación.</x:v>
      </x:c>
      <x:c r="H17" s="95" t="str">
        <x:v>Computadora, Word, Excel y almacenamiento digital.</x:v>
      </x:c>
      <x:c r="I17" s="95" t="str">
        <x:v>Impresión y difusión de resultados.</x:v>
      </x:c>
      <x:c r="J17" s="96" t="str">
        <x:v>Responsable del proyecto, comité vecinal y representantes de autoridades.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8" hidden="0" customWidth="1"/>
    <x:col min="4" max="4" width="8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</x:cols>
  <x:sheetData>
    <x:row r="1">
      <x:c r="A1" s="6" t="str">
        <x:v>DIAGRAMA DE GANTT – PROYECTO RÍO HONDO EL MOLINITO (24 SEMANAS)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</x:row>
    <x:row r="3">
      <x:c r="A3" s="33" t="str">
        <x:v>Actividad</x:v>
      </x:c>
      <x:c r="B3" s="34" t="str">
        <x:v>Fase</x:v>
      </x:c>
      <x:c r="C3" s="34" t="str">
        <x:v>Inicio</x:v>
      </x:c>
      <x:c r="D3" s="34" t="str">
        <x:v>Fin</x:v>
      </x:c>
      <x:c r="E3" s="34" t="str">
        <x:v>S1</x:v>
      </x:c>
      <x:c r="F3" s="34" t="str">
        <x:v>S2</x:v>
      </x:c>
      <x:c r="G3" s="34" t="str">
        <x:v>S3</x:v>
      </x:c>
      <x:c r="H3" s="34" t="str">
        <x:v>S4</x:v>
      </x:c>
      <x:c r="I3" s="34" t="str">
        <x:v>S5</x:v>
      </x:c>
      <x:c r="J3" s="34" t="str">
        <x:v>S6</x:v>
      </x:c>
      <x:c r="K3" s="34" t="str">
        <x:v>S7</x:v>
      </x:c>
      <x:c r="L3" s="34" t="str">
        <x:v>S8</x:v>
      </x:c>
      <x:c r="M3" s="34" t="str">
        <x:v>S9</x:v>
      </x:c>
      <x:c r="N3" s="34" t="str">
        <x:v>S10</x:v>
      </x:c>
      <x:c r="O3" s="34" t="str">
        <x:v>S11</x:v>
      </x:c>
      <x:c r="P3" s="34" t="str">
        <x:v>S12</x:v>
      </x:c>
      <x:c r="Q3" s="34" t="str">
        <x:v>S13</x:v>
      </x:c>
      <x:c r="R3" s="34" t="str">
        <x:v>S14</x:v>
      </x:c>
      <x:c r="S3" s="34" t="str">
        <x:v>S15</x:v>
      </x:c>
      <x:c r="T3" s="34" t="str">
        <x:v>S16</x:v>
      </x:c>
      <x:c r="U3" s="34" t="str">
        <x:v>S17</x:v>
      </x:c>
      <x:c r="V3" s="34" t="str">
        <x:v>S18</x:v>
      </x:c>
      <x:c r="W3" s="34" t="str">
        <x:v>S19</x:v>
      </x:c>
      <x:c r="X3" s="34" t="str">
        <x:v>S20</x:v>
      </x:c>
      <x:c r="Y3" s="34" t="str">
        <x:v>S21</x:v>
      </x:c>
      <x:c r="Z3" s="34" t="str">
        <x:v>S22</x:v>
      </x:c>
      <x:c r="AA3" s="34" t="str">
        <x:v>S23</x:v>
      </x:c>
      <x:c r="AB3" s="35" t="str">
        <x:v>S24</x:v>
      </x:c>
    </x:row>
    <x:row r="4">
      <x:c r="A4" s="151" t="str">
        <x:v>1. Realizar diagnóstico inicial e identificar puntos críticos</x:v>
      </x:c>
      <x:c r="B4" s="152" t="str">
        <x:v>Fase inicial</x:v>
      </x:c>
      <x:c r="C4" s="153" t="n">
        <x:v>1</x:v>
      </x:c>
      <x:c r="D4" s="153" t="n">
        <x:v>2</x:v>
      </x:c>
      <x:c r="E4" s="129" t="str">
        <x:f>IF(AND(1&gt;=$C4,1&lt;=$D4),"■","")</x:f>
        <x:v>■</x:v>
      </x:c>
      <x:c r="F4" s="129" t="str">
        <x:f>IF(AND(2&gt;=$C4,2&lt;=$D4),"■","")</x:f>
        <x:v>■</x:v>
      </x:c>
      <x:c r="G4" s="129" t="str">
        <x:f>IF(AND(3&gt;=$C4,3&lt;=$D4),"■","")</x:f>
      </x:c>
      <x:c r="H4" s="129" t="str">
        <x:f>IF(AND(4&gt;=$C4,4&lt;=$D4),"■","")</x:f>
      </x:c>
      <x:c r="I4" s="129" t="str">
        <x:f>IF(AND(5&gt;=$C4,5&lt;=$D4),"■","")</x:f>
      </x:c>
      <x:c r="J4" s="129" t="str">
        <x:f>IF(AND(6&gt;=$C4,6&lt;=$D4),"■","")</x:f>
      </x:c>
      <x:c r="K4" s="129" t="str">
        <x:f>IF(AND(7&gt;=$C4,7&lt;=$D4),"■","")</x:f>
      </x:c>
      <x:c r="L4" s="129" t="str">
        <x:f>IF(AND(8&gt;=$C4,8&lt;=$D4),"■","")</x:f>
      </x:c>
      <x:c r="M4" s="129" t="str">
        <x:f>IF(AND(9&gt;=$C4,9&lt;=$D4),"■","")</x:f>
      </x:c>
      <x:c r="N4" s="129" t="str">
        <x:f>IF(AND(10&gt;=$C4,10&lt;=$D4),"■","")</x:f>
      </x:c>
      <x:c r="O4" s="129" t="str">
        <x:f>IF(AND(11&gt;=$C4,11&lt;=$D4),"■","")</x:f>
      </x:c>
      <x:c r="P4" s="129" t="str">
        <x:f>IF(AND(12&gt;=$C4,12&lt;=$D4),"■","")</x:f>
      </x:c>
      <x:c r="Q4" s="129" t="str">
        <x:f>IF(AND(13&gt;=$C4,13&lt;=$D4),"■","")</x:f>
      </x:c>
      <x:c r="R4" s="129" t="str">
        <x:f>IF(AND(14&gt;=$C4,14&lt;=$D4),"■","")</x:f>
      </x:c>
      <x:c r="S4" s="129" t="str">
        <x:f>IF(AND(15&gt;=$C4,15&lt;=$D4),"■","")</x:f>
      </x:c>
      <x:c r="T4" s="129" t="str">
        <x:f>IF(AND(16&gt;=$C4,16&lt;=$D4),"■","")</x:f>
      </x:c>
      <x:c r="U4" s="129" t="str">
        <x:f>IF(AND(17&gt;=$C4,17&lt;=$D4),"■","")</x:f>
      </x:c>
      <x:c r="V4" s="129" t="str">
        <x:f>IF(AND(18&gt;=$C4,18&lt;=$D4),"■","")</x:f>
      </x:c>
      <x:c r="W4" s="129" t="str">
        <x:f>IF(AND(19&gt;=$C4,19&lt;=$D4),"■","")</x:f>
      </x:c>
      <x:c r="X4" s="129" t="str">
        <x:f>IF(AND(20&gt;=$C4,20&lt;=$D4),"■","")</x:f>
      </x:c>
      <x:c r="Y4" s="129" t="str">
        <x:f>IF(AND(21&gt;=$C4,21&lt;=$D4),"■","")</x:f>
      </x:c>
      <x:c r="Z4" s="129" t="str">
        <x:f>IF(AND(22&gt;=$C4,22&lt;=$D4),"■","")</x:f>
      </x:c>
      <x:c r="AA4" s="129" t="str">
        <x:f>IF(AND(23&gt;=$C4,23&lt;=$D4),"■","")</x:f>
      </x:c>
      <x:c r="AB4" s="130" t="str">
        <x:f>IF(AND(24&gt;=$C4,24&lt;=$D4),"■","")</x:f>
      </x:c>
    </x:row>
    <x:row r="5">
      <x:c r="A5" s="157" t="str">
        <x:v>2. Formar el comité vecinal de vigilancia y seguimiento</x:v>
      </x:c>
      <x:c r="B5" s="158" t="str">
        <x:v>Fase inicial</x:v>
      </x:c>
      <x:c r="C5" s="159" t="n">
        <x:v>2</x:v>
      </x:c>
      <x:c r="D5" s="159" t="n">
        <x:v>3</x:v>
      </x:c>
      <x:c r="E5" s="131" t="str">
        <x:f>IF(AND(1&gt;=$C5,1&lt;=$D5),"■","")</x:f>
      </x:c>
      <x:c r="F5" s="131" t="str">
        <x:f>IF(AND(2&gt;=$C5,2&lt;=$D5),"■","")</x:f>
        <x:v>■</x:v>
      </x:c>
      <x:c r="G5" s="131" t="str">
        <x:f>IF(AND(3&gt;=$C5,3&lt;=$D5),"■","")</x:f>
        <x:v>■</x:v>
      </x:c>
      <x:c r="H5" s="131" t="str">
        <x:f>IF(AND(4&gt;=$C5,4&lt;=$D5),"■","")</x:f>
      </x:c>
      <x:c r="I5" s="131" t="str">
        <x:f>IF(AND(5&gt;=$C5,5&lt;=$D5),"■","")</x:f>
      </x:c>
      <x:c r="J5" s="131" t="str">
        <x:f>IF(AND(6&gt;=$C5,6&lt;=$D5),"■","")</x:f>
      </x:c>
      <x:c r="K5" s="131" t="str">
        <x:f>IF(AND(7&gt;=$C5,7&lt;=$D5),"■","")</x:f>
      </x:c>
      <x:c r="L5" s="131" t="str">
        <x:f>IF(AND(8&gt;=$C5,8&lt;=$D5),"■","")</x:f>
      </x:c>
      <x:c r="M5" s="131" t="str">
        <x:f>IF(AND(9&gt;=$C5,9&lt;=$D5),"■","")</x:f>
      </x:c>
      <x:c r="N5" s="131" t="str">
        <x:f>IF(AND(10&gt;=$C5,10&lt;=$D5),"■","")</x:f>
      </x:c>
      <x:c r="O5" s="131" t="str">
        <x:f>IF(AND(11&gt;=$C5,11&lt;=$D5),"■","")</x:f>
      </x:c>
      <x:c r="P5" s="131" t="str">
        <x:f>IF(AND(12&gt;=$C5,12&lt;=$D5),"■","")</x:f>
      </x:c>
      <x:c r="Q5" s="131" t="str">
        <x:f>IF(AND(13&gt;=$C5,13&lt;=$D5),"■","")</x:f>
      </x:c>
      <x:c r="R5" s="131" t="str">
        <x:f>IF(AND(14&gt;=$C5,14&lt;=$D5),"■","")</x:f>
      </x:c>
      <x:c r="S5" s="131" t="str">
        <x:f>IF(AND(15&gt;=$C5,15&lt;=$D5),"■","")</x:f>
      </x:c>
      <x:c r="T5" s="131" t="str">
        <x:f>IF(AND(16&gt;=$C5,16&lt;=$D5),"■","")</x:f>
      </x:c>
      <x:c r="U5" s="131" t="str">
        <x:f>IF(AND(17&gt;=$C5,17&lt;=$D5),"■","")</x:f>
      </x:c>
      <x:c r="V5" s="131" t="str">
        <x:f>IF(AND(18&gt;=$C5,18&lt;=$D5),"■","")</x:f>
      </x:c>
      <x:c r="W5" s="131" t="str">
        <x:f>IF(AND(19&gt;=$C5,19&lt;=$D5),"■","")</x:f>
      </x:c>
      <x:c r="X5" s="131" t="str">
        <x:f>IF(AND(20&gt;=$C5,20&lt;=$D5),"■","")</x:f>
      </x:c>
      <x:c r="Y5" s="131" t="str">
        <x:f>IF(AND(21&gt;=$C5,21&lt;=$D5),"■","")</x:f>
      </x:c>
      <x:c r="Z5" s="131" t="str">
        <x:f>IF(AND(22&gt;=$C5,22&lt;=$D5),"■","")</x:f>
      </x:c>
      <x:c r="AA5" s="131" t="str">
        <x:f>IF(AND(23&gt;=$C5,23&lt;=$D5),"■","")</x:f>
      </x:c>
      <x:c r="AB5" s="132" t="str">
        <x:f>IF(AND(24&gt;=$C5,24&lt;=$D5),"■","")</x:f>
      </x:c>
    </x:row>
    <x:row r="6">
      <x:c r="A6" s="157" t="str">
        <x:v>3. Coordinar actividades con autoridades municipales y servicios de limpia</x:v>
      </x:c>
      <x:c r="B6" s="158" t="str">
        <x:v>Fase inicial</x:v>
      </x:c>
      <x:c r="C6" s="159" t="n">
        <x:v>3</x:v>
      </x:c>
      <x:c r="D6" s="159" t="n">
        <x:v>4</x:v>
      </x:c>
      <x:c r="E6" s="131" t="str">
        <x:f>IF(AND(1&gt;=$C6,1&lt;=$D6),"■","")</x:f>
      </x:c>
      <x:c r="F6" s="131" t="str">
        <x:f>IF(AND(2&gt;=$C6,2&lt;=$D6),"■","")</x:f>
      </x:c>
      <x:c r="G6" s="131" t="str">
        <x:f>IF(AND(3&gt;=$C6,3&lt;=$D6),"■","")</x:f>
        <x:v>■</x:v>
      </x:c>
      <x:c r="H6" s="131" t="str">
        <x:f>IF(AND(4&gt;=$C6,4&lt;=$D6),"■","")</x:f>
        <x:v>■</x:v>
      </x:c>
      <x:c r="I6" s="131" t="str">
        <x:f>IF(AND(5&gt;=$C6,5&lt;=$D6),"■","")</x:f>
      </x:c>
      <x:c r="J6" s="131" t="str">
        <x:f>IF(AND(6&gt;=$C6,6&lt;=$D6),"■","")</x:f>
      </x:c>
      <x:c r="K6" s="131" t="str">
        <x:f>IF(AND(7&gt;=$C6,7&lt;=$D6),"■","")</x:f>
      </x:c>
      <x:c r="L6" s="131" t="str">
        <x:f>IF(AND(8&gt;=$C6,8&lt;=$D6),"■","")</x:f>
      </x:c>
      <x:c r="M6" s="131" t="str">
        <x:f>IF(AND(9&gt;=$C6,9&lt;=$D6),"■","")</x:f>
      </x:c>
      <x:c r="N6" s="131" t="str">
        <x:f>IF(AND(10&gt;=$C6,10&lt;=$D6),"■","")</x:f>
      </x:c>
      <x:c r="O6" s="131" t="str">
        <x:f>IF(AND(11&gt;=$C6,11&lt;=$D6),"■","")</x:f>
      </x:c>
      <x:c r="P6" s="131" t="str">
        <x:f>IF(AND(12&gt;=$C6,12&lt;=$D6),"■","")</x:f>
      </x:c>
      <x:c r="Q6" s="131" t="str">
        <x:f>IF(AND(13&gt;=$C6,13&lt;=$D6),"■","")</x:f>
      </x:c>
      <x:c r="R6" s="131" t="str">
        <x:f>IF(AND(14&gt;=$C6,14&lt;=$D6),"■","")</x:f>
      </x:c>
      <x:c r="S6" s="131" t="str">
        <x:f>IF(AND(15&gt;=$C6,15&lt;=$D6),"■","")</x:f>
      </x:c>
      <x:c r="T6" s="131" t="str">
        <x:f>IF(AND(16&gt;=$C6,16&lt;=$D6),"■","")</x:f>
      </x:c>
      <x:c r="U6" s="131" t="str">
        <x:f>IF(AND(17&gt;=$C6,17&lt;=$D6),"■","")</x:f>
      </x:c>
      <x:c r="V6" s="131" t="str">
        <x:f>IF(AND(18&gt;=$C6,18&lt;=$D6),"■","")</x:f>
      </x:c>
      <x:c r="W6" s="131" t="str">
        <x:f>IF(AND(19&gt;=$C6,19&lt;=$D6),"■","")</x:f>
      </x:c>
      <x:c r="X6" s="131" t="str">
        <x:f>IF(AND(20&gt;=$C6,20&lt;=$D6),"■","")</x:f>
      </x:c>
      <x:c r="Y6" s="131" t="str">
        <x:f>IF(AND(21&gt;=$C6,21&lt;=$D6),"■","")</x:f>
      </x:c>
      <x:c r="Z6" s="131" t="str">
        <x:f>IF(AND(22&gt;=$C6,22&lt;=$D6),"■","")</x:f>
      </x:c>
      <x:c r="AA6" s="131" t="str">
        <x:f>IF(AND(23&gt;=$C6,23&lt;=$D6),"■","")</x:f>
      </x:c>
      <x:c r="AB6" s="132" t="str">
        <x:f>IF(AND(24&gt;=$C6,24&lt;=$D6),"■","")</x:f>
      </x:c>
    </x:row>
    <x:row r="7">
      <x:c r="A7" s="163" t="str">
        <x:v>4. Elaborar material de educación ambiental</x:v>
      </x:c>
      <x:c r="B7" s="164" t="str">
        <x:v>Fase desarrollo</x:v>
      </x:c>
      <x:c r="C7" s="165" t="n">
        <x:v>5</x:v>
      </x:c>
      <x:c r="D7" s="165" t="n">
        <x:v>6</x:v>
      </x:c>
      <x:c r="E7" s="131" t="str">
        <x:f>IF(AND(1&gt;=$C7,1&lt;=$D7),"■","")</x:f>
      </x:c>
      <x:c r="F7" s="131" t="str">
        <x:f>IF(AND(2&gt;=$C7,2&lt;=$D7),"■","")</x:f>
      </x:c>
      <x:c r="G7" s="131" t="str">
        <x:f>IF(AND(3&gt;=$C7,3&lt;=$D7),"■","")</x:f>
      </x:c>
      <x:c r="H7" s="131" t="str">
        <x:f>IF(AND(4&gt;=$C7,4&lt;=$D7),"■","")</x:f>
      </x:c>
      <x:c r="I7" s="131" t="str">
        <x:f>IF(AND(5&gt;=$C7,5&lt;=$D7),"■","")</x:f>
        <x:v>■</x:v>
      </x:c>
      <x:c r="J7" s="131" t="str">
        <x:f>IF(AND(6&gt;=$C7,6&lt;=$D7),"■","")</x:f>
        <x:v>■</x:v>
      </x:c>
      <x:c r="K7" s="131" t="str">
        <x:f>IF(AND(7&gt;=$C7,7&lt;=$D7),"■","")</x:f>
      </x:c>
      <x:c r="L7" s="131" t="str">
        <x:f>IF(AND(8&gt;=$C7,8&lt;=$D7),"■","")</x:f>
      </x:c>
      <x:c r="M7" s="131" t="str">
        <x:f>IF(AND(9&gt;=$C7,9&lt;=$D7),"■","")</x:f>
      </x:c>
      <x:c r="N7" s="131" t="str">
        <x:f>IF(AND(10&gt;=$C7,10&lt;=$D7),"■","")</x:f>
      </x:c>
      <x:c r="O7" s="131" t="str">
        <x:f>IF(AND(11&gt;=$C7,11&lt;=$D7),"■","")</x:f>
      </x:c>
      <x:c r="P7" s="131" t="str">
        <x:f>IF(AND(12&gt;=$C7,12&lt;=$D7),"■","")</x:f>
      </x:c>
      <x:c r="Q7" s="131" t="str">
        <x:f>IF(AND(13&gt;=$C7,13&lt;=$D7),"■","")</x:f>
      </x:c>
      <x:c r="R7" s="131" t="str">
        <x:f>IF(AND(14&gt;=$C7,14&lt;=$D7),"■","")</x:f>
      </x:c>
      <x:c r="S7" s="131" t="str">
        <x:f>IF(AND(15&gt;=$C7,15&lt;=$D7),"■","")</x:f>
      </x:c>
      <x:c r="T7" s="131" t="str">
        <x:f>IF(AND(16&gt;=$C7,16&lt;=$D7),"■","")</x:f>
      </x:c>
      <x:c r="U7" s="131" t="str">
        <x:f>IF(AND(17&gt;=$C7,17&lt;=$D7),"■","")</x:f>
      </x:c>
      <x:c r="V7" s="131" t="str">
        <x:f>IF(AND(18&gt;=$C7,18&lt;=$D7),"■","")</x:f>
      </x:c>
      <x:c r="W7" s="131" t="str">
        <x:f>IF(AND(19&gt;=$C7,19&lt;=$D7),"■","")</x:f>
      </x:c>
      <x:c r="X7" s="131" t="str">
        <x:f>IF(AND(20&gt;=$C7,20&lt;=$D7),"■","")</x:f>
      </x:c>
      <x:c r="Y7" s="131" t="str">
        <x:f>IF(AND(21&gt;=$C7,21&lt;=$D7),"■","")</x:f>
      </x:c>
      <x:c r="Z7" s="131" t="str">
        <x:f>IF(AND(22&gt;=$C7,22&lt;=$D7),"■","")</x:f>
      </x:c>
      <x:c r="AA7" s="131" t="str">
        <x:f>IF(AND(23&gt;=$C7,23&lt;=$D7),"■","")</x:f>
      </x:c>
      <x:c r="AB7" s="132" t="str">
        <x:f>IF(AND(24&gt;=$C7,24&lt;=$D7),"■","")</x:f>
      </x:c>
    </x:row>
    <x:row r="8">
      <x:c r="A8" s="163" t="str">
        <x:v>5. Realizar campañas de educación ambiental</x:v>
      </x:c>
      <x:c r="B8" s="164" t="str">
        <x:v>Fase desarrollo</x:v>
      </x:c>
      <x:c r="C8" s="165" t="n">
        <x:v>7</x:v>
      </x:c>
      <x:c r="D8" s="165" t="n">
        <x:v>9</x:v>
      </x:c>
      <x:c r="E8" s="131" t="str">
        <x:f>IF(AND(1&gt;=$C8,1&lt;=$D8),"■","")</x:f>
      </x:c>
      <x:c r="F8" s="131" t="str">
        <x:f>IF(AND(2&gt;=$C8,2&lt;=$D8),"■","")</x:f>
      </x:c>
      <x:c r="G8" s="131" t="str">
        <x:f>IF(AND(3&gt;=$C8,3&lt;=$D8),"■","")</x:f>
      </x:c>
      <x:c r="H8" s="131" t="str">
        <x:f>IF(AND(4&gt;=$C8,4&lt;=$D8),"■","")</x:f>
      </x:c>
      <x:c r="I8" s="131" t="str">
        <x:f>IF(AND(5&gt;=$C8,5&lt;=$D8),"■","")</x:f>
      </x:c>
      <x:c r="J8" s="131" t="str">
        <x:f>IF(AND(6&gt;=$C8,6&lt;=$D8),"■","")</x:f>
      </x:c>
      <x:c r="K8" s="131" t="str">
        <x:f>IF(AND(7&gt;=$C8,7&lt;=$D8),"■","")</x:f>
        <x:v>■</x:v>
      </x:c>
      <x:c r="L8" s="131" t="str">
        <x:f>IF(AND(8&gt;=$C8,8&lt;=$D8),"■","")</x:f>
        <x:v>■</x:v>
      </x:c>
      <x:c r="M8" s="131" t="str">
        <x:f>IF(AND(9&gt;=$C8,9&lt;=$D8),"■","")</x:f>
        <x:v>■</x:v>
      </x:c>
      <x:c r="N8" s="131" t="str">
        <x:f>IF(AND(10&gt;=$C8,10&lt;=$D8),"■","")</x:f>
      </x:c>
      <x:c r="O8" s="131" t="str">
        <x:f>IF(AND(11&gt;=$C8,11&lt;=$D8),"■","")</x:f>
      </x:c>
      <x:c r="P8" s="131" t="str">
        <x:f>IF(AND(12&gt;=$C8,12&lt;=$D8),"■","")</x:f>
      </x:c>
      <x:c r="Q8" s="131" t="str">
        <x:f>IF(AND(13&gt;=$C8,13&lt;=$D8),"■","")</x:f>
      </x:c>
      <x:c r="R8" s="131" t="str">
        <x:f>IF(AND(14&gt;=$C8,14&lt;=$D8),"■","")</x:f>
      </x:c>
      <x:c r="S8" s="131" t="str">
        <x:f>IF(AND(15&gt;=$C8,15&lt;=$D8),"■","")</x:f>
      </x:c>
      <x:c r="T8" s="131" t="str">
        <x:f>IF(AND(16&gt;=$C8,16&lt;=$D8),"■","")</x:f>
      </x:c>
      <x:c r="U8" s="131" t="str">
        <x:f>IF(AND(17&gt;=$C8,17&lt;=$D8),"■","")</x:f>
      </x:c>
      <x:c r="V8" s="131" t="str">
        <x:f>IF(AND(18&gt;=$C8,18&lt;=$D8),"■","")</x:f>
      </x:c>
      <x:c r="W8" s="131" t="str">
        <x:f>IF(AND(19&gt;=$C8,19&lt;=$D8),"■","")</x:f>
      </x:c>
      <x:c r="X8" s="131" t="str">
        <x:f>IF(AND(20&gt;=$C8,20&lt;=$D8),"■","")</x:f>
      </x:c>
      <x:c r="Y8" s="131" t="str">
        <x:f>IF(AND(21&gt;=$C8,21&lt;=$D8),"■","")</x:f>
      </x:c>
      <x:c r="Z8" s="131" t="str">
        <x:f>IF(AND(22&gt;=$C8,22&lt;=$D8),"■","")</x:f>
      </x:c>
      <x:c r="AA8" s="131" t="str">
        <x:f>IF(AND(23&gt;=$C8,23&lt;=$D8),"■","")</x:f>
      </x:c>
      <x:c r="AB8" s="132" t="str">
        <x:f>IF(AND(24&gt;=$C8,24&lt;=$D8),"■","")</x:f>
      </x:c>
    </x:row>
    <x:row r="9">
      <x:c r="A9" s="163" t="str">
        <x:v>6. Promover la separación responsable de residuos desde los hogares</x:v>
      </x:c>
      <x:c r="B9" s="164" t="str">
        <x:v>Fase desarrollo</x:v>
      </x:c>
      <x:c r="C9" s="165" t="n">
        <x:v>7</x:v>
      </x:c>
      <x:c r="D9" s="165" t="n">
        <x:v>20</x:v>
      </x:c>
      <x:c r="E9" s="131" t="str">
        <x:f>IF(AND(1&gt;=$C9,1&lt;=$D9),"■","")</x:f>
      </x:c>
      <x:c r="F9" s="131" t="str">
        <x:f>IF(AND(2&gt;=$C9,2&lt;=$D9),"■","")</x:f>
      </x:c>
      <x:c r="G9" s="131" t="str">
        <x:f>IF(AND(3&gt;=$C9,3&lt;=$D9),"■","")</x:f>
      </x:c>
      <x:c r="H9" s="131" t="str">
        <x:f>IF(AND(4&gt;=$C9,4&lt;=$D9),"■","")</x:f>
      </x:c>
      <x:c r="I9" s="131" t="str">
        <x:f>IF(AND(5&gt;=$C9,5&lt;=$D9),"■","")</x:f>
      </x:c>
      <x:c r="J9" s="131" t="str">
        <x:f>IF(AND(6&gt;=$C9,6&lt;=$D9),"■","")</x:f>
      </x:c>
      <x:c r="K9" s="131" t="str">
        <x:f>IF(AND(7&gt;=$C9,7&lt;=$D9),"■","")</x:f>
        <x:v>■</x:v>
      </x:c>
      <x:c r="L9" s="131" t="str">
        <x:f>IF(AND(8&gt;=$C9,8&lt;=$D9),"■","")</x:f>
        <x:v>■</x:v>
      </x:c>
      <x:c r="M9" s="131" t="str">
        <x:f>IF(AND(9&gt;=$C9,9&lt;=$D9),"■","")</x:f>
        <x:v>■</x:v>
      </x:c>
      <x:c r="N9" s="131" t="str">
        <x:f>IF(AND(10&gt;=$C9,10&lt;=$D9),"■","")</x:f>
        <x:v>■</x:v>
      </x:c>
      <x:c r="O9" s="131" t="str">
        <x:f>IF(AND(11&gt;=$C9,11&lt;=$D9),"■","")</x:f>
        <x:v>■</x:v>
      </x:c>
      <x:c r="P9" s="131" t="str">
        <x:f>IF(AND(12&gt;=$C9,12&lt;=$D9),"■","")</x:f>
        <x:v>■</x:v>
      </x:c>
      <x:c r="Q9" s="131" t="str">
        <x:f>IF(AND(13&gt;=$C9,13&lt;=$D9),"■","")</x:f>
        <x:v>■</x:v>
      </x:c>
      <x:c r="R9" s="131" t="str">
        <x:f>IF(AND(14&gt;=$C9,14&lt;=$D9),"■","")</x:f>
        <x:v>■</x:v>
      </x:c>
      <x:c r="S9" s="131" t="str">
        <x:f>IF(AND(15&gt;=$C9,15&lt;=$D9),"■","")</x:f>
        <x:v>■</x:v>
      </x:c>
      <x:c r="T9" s="131" t="str">
        <x:f>IF(AND(16&gt;=$C9,16&lt;=$D9),"■","")</x:f>
        <x:v>■</x:v>
      </x:c>
      <x:c r="U9" s="131" t="str">
        <x:f>IF(AND(17&gt;=$C9,17&lt;=$D9),"■","")</x:f>
        <x:v>■</x:v>
      </x:c>
      <x:c r="V9" s="131" t="str">
        <x:f>IF(AND(18&gt;=$C9,18&lt;=$D9),"■","")</x:f>
        <x:v>■</x:v>
      </x:c>
      <x:c r="W9" s="131" t="str">
        <x:f>IF(AND(19&gt;=$C9,19&lt;=$D9),"■","")</x:f>
        <x:v>■</x:v>
      </x:c>
      <x:c r="X9" s="131" t="str">
        <x:f>IF(AND(20&gt;=$C9,20&lt;=$D9),"■","")</x:f>
        <x:v>■</x:v>
      </x:c>
      <x:c r="Y9" s="131" t="str">
        <x:f>IF(AND(21&gt;=$C9,21&lt;=$D9),"■","")</x:f>
      </x:c>
      <x:c r="Z9" s="131" t="str">
        <x:f>IF(AND(22&gt;=$C9,22&lt;=$D9),"■","")</x:f>
      </x:c>
      <x:c r="AA9" s="131" t="str">
        <x:f>IF(AND(23&gt;=$C9,23&lt;=$D9),"■","")</x:f>
      </x:c>
      <x:c r="AB9" s="132" t="str">
        <x:f>IF(AND(24&gt;=$C9,24&lt;=$D9),"■","")</x:f>
      </x:c>
    </x:row>
    <x:row r="10">
      <x:c r="A10" s="163" t="str">
        <x:v>7. Planear las jornadas comunitarias de limpieza</x:v>
      </x:c>
      <x:c r="B10" s="164" t="str">
        <x:v>Fase desarrollo</x:v>
      </x:c>
      <x:c r="C10" s="165" t="n">
        <x:v>9</x:v>
      </x:c>
      <x:c r="D10" s="165" t="n">
        <x:v>10</x:v>
      </x:c>
      <x:c r="E10" s="131" t="str">
        <x:f>IF(AND(1&gt;=$C10,1&lt;=$D10),"■","")</x:f>
      </x:c>
      <x:c r="F10" s="131" t="str">
        <x:f>IF(AND(2&gt;=$C10,2&lt;=$D10),"■","")</x:f>
      </x:c>
      <x:c r="G10" s="131" t="str">
        <x:f>IF(AND(3&gt;=$C10,3&lt;=$D10),"■","")</x:f>
      </x:c>
      <x:c r="H10" s="131" t="str">
        <x:f>IF(AND(4&gt;=$C10,4&lt;=$D10),"■","")</x:f>
      </x:c>
      <x:c r="I10" s="131" t="str">
        <x:f>IF(AND(5&gt;=$C10,5&lt;=$D10),"■","")</x:f>
      </x:c>
      <x:c r="J10" s="131" t="str">
        <x:f>IF(AND(6&gt;=$C10,6&lt;=$D10),"■","")</x:f>
      </x:c>
      <x:c r="K10" s="131" t="str">
        <x:f>IF(AND(7&gt;=$C10,7&lt;=$D10),"■","")</x:f>
      </x:c>
      <x:c r="L10" s="131" t="str">
        <x:f>IF(AND(8&gt;=$C10,8&lt;=$D10),"■","")</x:f>
      </x:c>
      <x:c r="M10" s="131" t="str">
        <x:f>IF(AND(9&gt;=$C10,9&lt;=$D10),"■","")</x:f>
        <x:v>■</x:v>
      </x:c>
      <x:c r="N10" s="131" t="str">
        <x:f>IF(AND(10&gt;=$C10,10&lt;=$D10),"■","")</x:f>
        <x:v>■</x:v>
      </x:c>
      <x:c r="O10" s="131" t="str">
        <x:f>IF(AND(11&gt;=$C10,11&lt;=$D10),"■","")</x:f>
      </x:c>
      <x:c r="P10" s="131" t="str">
        <x:f>IF(AND(12&gt;=$C10,12&lt;=$D10),"■","")</x:f>
      </x:c>
      <x:c r="Q10" s="131" t="str">
        <x:f>IF(AND(13&gt;=$C10,13&lt;=$D10),"■","")</x:f>
      </x:c>
      <x:c r="R10" s="131" t="str">
        <x:f>IF(AND(14&gt;=$C10,14&lt;=$D10),"■","")</x:f>
      </x:c>
      <x:c r="S10" s="131" t="str">
        <x:f>IF(AND(15&gt;=$C10,15&lt;=$D10),"■","")</x:f>
      </x:c>
      <x:c r="T10" s="131" t="str">
        <x:f>IF(AND(16&gt;=$C10,16&lt;=$D10),"■","")</x:f>
      </x:c>
      <x:c r="U10" s="131" t="str">
        <x:f>IF(AND(17&gt;=$C10,17&lt;=$D10),"■","")</x:f>
      </x:c>
      <x:c r="V10" s="131" t="str">
        <x:f>IF(AND(18&gt;=$C10,18&lt;=$D10),"■","")</x:f>
      </x:c>
      <x:c r="W10" s="131" t="str">
        <x:f>IF(AND(19&gt;=$C10,19&lt;=$D10),"■","")</x:f>
      </x:c>
      <x:c r="X10" s="131" t="str">
        <x:f>IF(AND(20&gt;=$C10,20&lt;=$D10),"■","")</x:f>
      </x:c>
      <x:c r="Y10" s="131" t="str">
        <x:f>IF(AND(21&gt;=$C10,21&lt;=$D10),"■","")</x:f>
      </x:c>
      <x:c r="Z10" s="131" t="str">
        <x:f>IF(AND(22&gt;=$C10,22&lt;=$D10),"■","")</x:f>
      </x:c>
      <x:c r="AA10" s="131" t="str">
        <x:f>IF(AND(23&gt;=$C10,23&lt;=$D10),"■","")</x:f>
      </x:c>
      <x:c r="AB10" s="132" t="str">
        <x:f>IF(AND(24&gt;=$C10,24&lt;=$D10),"■","")</x:f>
      </x:c>
    </x:row>
    <x:row r="11">
      <x:c r="A11" s="163" t="str">
        <x:v>8. Realizar jornadas periódicas de limpieza</x:v>
      </x:c>
      <x:c r="B11" s="164" t="str">
        <x:v>Fase desarrollo</x:v>
      </x:c>
      <x:c r="C11" s="165" t="n">
        <x:v>11</x:v>
      </x:c>
      <x:c r="D11" s="165" t="n">
        <x:v>20</x:v>
      </x:c>
      <x:c r="E11" s="131" t="str">
        <x:f>IF(AND(1&gt;=$C11,1&lt;=$D11),"■","")</x:f>
      </x:c>
      <x:c r="F11" s="131" t="str">
        <x:f>IF(AND(2&gt;=$C11,2&lt;=$D11),"■","")</x:f>
      </x:c>
      <x:c r="G11" s="131" t="str">
        <x:f>IF(AND(3&gt;=$C11,3&lt;=$D11),"■","")</x:f>
      </x:c>
      <x:c r="H11" s="131" t="str">
        <x:f>IF(AND(4&gt;=$C11,4&lt;=$D11),"■","")</x:f>
      </x:c>
      <x:c r="I11" s="131" t="str">
        <x:f>IF(AND(5&gt;=$C11,5&lt;=$D11),"■","")</x:f>
      </x:c>
      <x:c r="J11" s="131" t="str">
        <x:f>IF(AND(6&gt;=$C11,6&lt;=$D11),"■","")</x:f>
      </x:c>
      <x:c r="K11" s="131" t="str">
        <x:f>IF(AND(7&gt;=$C11,7&lt;=$D11),"■","")</x:f>
      </x:c>
      <x:c r="L11" s="131" t="str">
        <x:f>IF(AND(8&gt;=$C11,8&lt;=$D11),"■","")</x:f>
      </x:c>
      <x:c r="M11" s="131" t="str">
        <x:f>IF(AND(9&gt;=$C11,9&lt;=$D11),"■","")</x:f>
      </x:c>
      <x:c r="N11" s="131" t="str">
        <x:f>IF(AND(10&gt;=$C11,10&lt;=$D11),"■","")</x:f>
      </x:c>
      <x:c r="O11" s="131" t="str">
        <x:f>IF(AND(11&gt;=$C11,11&lt;=$D11),"■","")</x:f>
        <x:v>■</x:v>
      </x:c>
      <x:c r="P11" s="131" t="str">
        <x:f>IF(AND(12&gt;=$C11,12&lt;=$D11),"■","")</x:f>
        <x:v>■</x:v>
      </x:c>
      <x:c r="Q11" s="131" t="str">
        <x:f>IF(AND(13&gt;=$C11,13&lt;=$D11),"■","")</x:f>
        <x:v>■</x:v>
      </x:c>
      <x:c r="R11" s="131" t="str">
        <x:f>IF(AND(14&gt;=$C11,14&lt;=$D11),"■","")</x:f>
        <x:v>■</x:v>
      </x:c>
      <x:c r="S11" s="131" t="str">
        <x:f>IF(AND(15&gt;=$C11,15&lt;=$D11),"■","")</x:f>
        <x:v>■</x:v>
      </x:c>
      <x:c r="T11" s="131" t="str">
        <x:f>IF(AND(16&gt;=$C11,16&lt;=$D11),"■","")</x:f>
        <x:v>■</x:v>
      </x:c>
      <x:c r="U11" s="131" t="str">
        <x:f>IF(AND(17&gt;=$C11,17&lt;=$D11),"■","")</x:f>
        <x:v>■</x:v>
      </x:c>
      <x:c r="V11" s="131" t="str">
        <x:f>IF(AND(18&gt;=$C11,18&lt;=$D11),"■","")</x:f>
        <x:v>■</x:v>
      </x:c>
      <x:c r="W11" s="131" t="str">
        <x:f>IF(AND(19&gt;=$C11,19&lt;=$D11),"■","")</x:f>
        <x:v>■</x:v>
      </x:c>
      <x:c r="X11" s="131" t="str">
        <x:f>IF(AND(20&gt;=$C11,20&lt;=$D11),"■","")</x:f>
        <x:v>■</x:v>
      </x:c>
      <x:c r="Y11" s="131" t="str">
        <x:f>IF(AND(21&gt;=$C11,21&lt;=$D11),"■","")</x:f>
      </x:c>
      <x:c r="Z11" s="131" t="str">
        <x:f>IF(AND(22&gt;=$C11,22&lt;=$D11),"■","")</x:f>
      </x:c>
      <x:c r="AA11" s="131" t="str">
        <x:f>IF(AND(23&gt;=$C11,23&lt;=$D11),"■","")</x:f>
      </x:c>
      <x:c r="AB11" s="132" t="str">
        <x:f>IF(AND(24&gt;=$C11,24&lt;=$D11),"■","")</x:f>
      </x:c>
    </x:row>
    <x:row r="12">
      <x:c r="A12" s="163" t="str">
        <x:v>9. Separar y entregar los residuos recolectados</x:v>
      </x:c>
      <x:c r="B12" s="164" t="str">
        <x:v>Fase desarrollo</x:v>
      </x:c>
      <x:c r="C12" s="165" t="n">
        <x:v>11</x:v>
      </x:c>
      <x:c r="D12" s="165" t="n">
        <x:v>20</x:v>
      </x:c>
      <x:c r="E12" s="131" t="str">
        <x:f>IF(AND(1&gt;=$C12,1&lt;=$D12),"■","")</x:f>
      </x:c>
      <x:c r="F12" s="131" t="str">
        <x:f>IF(AND(2&gt;=$C12,2&lt;=$D12),"■","")</x:f>
      </x:c>
      <x:c r="G12" s="131" t="str">
        <x:f>IF(AND(3&gt;=$C12,3&lt;=$D12),"■","")</x:f>
      </x:c>
      <x:c r="H12" s="131" t="str">
        <x:f>IF(AND(4&gt;=$C12,4&lt;=$D12),"■","")</x:f>
      </x:c>
      <x:c r="I12" s="131" t="str">
        <x:f>IF(AND(5&gt;=$C12,5&lt;=$D12),"■","")</x:f>
      </x:c>
      <x:c r="J12" s="131" t="str">
        <x:f>IF(AND(6&gt;=$C12,6&lt;=$D12),"■","")</x:f>
      </x:c>
      <x:c r="K12" s="131" t="str">
        <x:f>IF(AND(7&gt;=$C12,7&lt;=$D12),"■","")</x:f>
      </x:c>
      <x:c r="L12" s="131" t="str">
        <x:f>IF(AND(8&gt;=$C12,8&lt;=$D12),"■","")</x:f>
      </x:c>
      <x:c r="M12" s="131" t="str">
        <x:f>IF(AND(9&gt;=$C12,9&lt;=$D12),"■","")</x:f>
      </x:c>
      <x:c r="N12" s="131" t="str">
        <x:f>IF(AND(10&gt;=$C12,10&lt;=$D12),"■","")</x:f>
      </x:c>
      <x:c r="O12" s="131" t="str">
        <x:f>IF(AND(11&gt;=$C12,11&lt;=$D12),"■","")</x:f>
        <x:v>■</x:v>
      </x:c>
      <x:c r="P12" s="131" t="str">
        <x:f>IF(AND(12&gt;=$C12,12&lt;=$D12),"■","")</x:f>
        <x:v>■</x:v>
      </x:c>
      <x:c r="Q12" s="131" t="str">
        <x:f>IF(AND(13&gt;=$C12,13&lt;=$D12),"■","")</x:f>
        <x:v>■</x:v>
      </x:c>
      <x:c r="R12" s="131" t="str">
        <x:f>IF(AND(14&gt;=$C12,14&lt;=$D12),"■","")</x:f>
        <x:v>■</x:v>
      </x:c>
      <x:c r="S12" s="131" t="str">
        <x:f>IF(AND(15&gt;=$C12,15&lt;=$D12),"■","")</x:f>
        <x:v>■</x:v>
      </x:c>
      <x:c r="T12" s="131" t="str">
        <x:f>IF(AND(16&gt;=$C12,16&lt;=$D12),"■","")</x:f>
        <x:v>■</x:v>
      </x:c>
      <x:c r="U12" s="131" t="str">
        <x:f>IF(AND(17&gt;=$C12,17&lt;=$D12),"■","")</x:f>
        <x:v>■</x:v>
      </x:c>
      <x:c r="V12" s="131" t="str">
        <x:f>IF(AND(18&gt;=$C12,18&lt;=$D12),"■","")</x:f>
        <x:v>■</x:v>
      </x:c>
      <x:c r="W12" s="131" t="str">
        <x:f>IF(AND(19&gt;=$C12,19&lt;=$D12),"■","")</x:f>
        <x:v>■</x:v>
      </x:c>
      <x:c r="X12" s="131" t="str">
        <x:f>IF(AND(20&gt;=$C12,20&lt;=$D12),"■","")</x:f>
        <x:v>■</x:v>
      </x:c>
      <x:c r="Y12" s="131" t="str">
        <x:f>IF(AND(21&gt;=$C12,21&lt;=$D12),"■","")</x:f>
      </x:c>
      <x:c r="Z12" s="131" t="str">
        <x:f>IF(AND(22&gt;=$C12,22&lt;=$D12),"■","")</x:f>
      </x:c>
      <x:c r="AA12" s="131" t="str">
        <x:f>IF(AND(23&gt;=$C12,23&lt;=$D12),"■","")</x:f>
      </x:c>
      <x:c r="AB12" s="132" t="str">
        <x:f>IF(AND(24&gt;=$C12,24&lt;=$D12),"■","")</x:f>
      </x:c>
    </x:row>
    <x:row r="13">
      <x:c r="A13" s="163" t="str">
        <x:v>10. Vigilar periódicamente los puntos críticos</x:v>
      </x:c>
      <x:c r="B13" s="164" t="str">
        <x:v>Fase desarrollo</x:v>
      </x:c>
      <x:c r="C13" s="165" t="n">
        <x:v>11</x:v>
      </x:c>
      <x:c r="D13" s="165" t="n">
        <x:v>20</x:v>
      </x:c>
      <x:c r="E13" s="131" t="str">
        <x:f>IF(AND(1&gt;=$C13,1&lt;=$D13),"■","")</x:f>
      </x:c>
      <x:c r="F13" s="131" t="str">
        <x:f>IF(AND(2&gt;=$C13,2&lt;=$D13),"■","")</x:f>
      </x:c>
      <x:c r="G13" s="131" t="str">
        <x:f>IF(AND(3&gt;=$C13,3&lt;=$D13),"■","")</x:f>
      </x:c>
      <x:c r="H13" s="131" t="str">
        <x:f>IF(AND(4&gt;=$C13,4&lt;=$D13),"■","")</x:f>
      </x:c>
      <x:c r="I13" s="131" t="str">
        <x:f>IF(AND(5&gt;=$C13,5&lt;=$D13),"■","")</x:f>
      </x:c>
      <x:c r="J13" s="131" t="str">
        <x:f>IF(AND(6&gt;=$C13,6&lt;=$D13),"■","")</x:f>
      </x:c>
      <x:c r="K13" s="131" t="str">
        <x:f>IF(AND(7&gt;=$C13,7&lt;=$D13),"■","")</x:f>
      </x:c>
      <x:c r="L13" s="131" t="str">
        <x:f>IF(AND(8&gt;=$C13,8&lt;=$D13),"■","")</x:f>
      </x:c>
      <x:c r="M13" s="131" t="str">
        <x:f>IF(AND(9&gt;=$C13,9&lt;=$D13),"■","")</x:f>
      </x:c>
      <x:c r="N13" s="131" t="str">
        <x:f>IF(AND(10&gt;=$C13,10&lt;=$D13),"■","")</x:f>
      </x:c>
      <x:c r="O13" s="131" t="str">
        <x:f>IF(AND(11&gt;=$C13,11&lt;=$D13),"■","")</x:f>
        <x:v>■</x:v>
      </x:c>
      <x:c r="P13" s="131" t="str">
        <x:f>IF(AND(12&gt;=$C13,12&lt;=$D13),"■","")</x:f>
        <x:v>■</x:v>
      </x:c>
      <x:c r="Q13" s="131" t="str">
        <x:f>IF(AND(13&gt;=$C13,13&lt;=$D13),"■","")</x:f>
        <x:v>■</x:v>
      </x:c>
      <x:c r="R13" s="131" t="str">
        <x:f>IF(AND(14&gt;=$C13,14&lt;=$D13),"■","")</x:f>
        <x:v>■</x:v>
      </x:c>
      <x:c r="S13" s="131" t="str">
        <x:f>IF(AND(15&gt;=$C13,15&lt;=$D13),"■","")</x:f>
        <x:v>■</x:v>
      </x:c>
      <x:c r="T13" s="131" t="str">
        <x:f>IF(AND(16&gt;=$C13,16&lt;=$D13),"■","")</x:f>
        <x:v>■</x:v>
      </x:c>
      <x:c r="U13" s="131" t="str">
        <x:f>IF(AND(17&gt;=$C13,17&lt;=$D13),"■","")</x:f>
        <x:v>■</x:v>
      </x:c>
      <x:c r="V13" s="131" t="str">
        <x:f>IF(AND(18&gt;=$C13,18&lt;=$D13),"■","")</x:f>
        <x:v>■</x:v>
      </x:c>
      <x:c r="W13" s="131" t="str">
        <x:f>IF(AND(19&gt;=$C13,19&lt;=$D13),"■","")</x:f>
        <x:v>■</x:v>
      </x:c>
      <x:c r="X13" s="131" t="str">
        <x:f>IF(AND(20&gt;=$C13,20&lt;=$D13),"■","")</x:f>
        <x:v>■</x:v>
      </x:c>
      <x:c r="Y13" s="131" t="str">
        <x:f>IF(AND(21&gt;=$C13,21&lt;=$D13),"■","")</x:f>
      </x:c>
      <x:c r="Z13" s="131" t="str">
        <x:f>IF(AND(22&gt;=$C13,22&lt;=$D13),"■","")</x:f>
      </x:c>
      <x:c r="AA13" s="131" t="str">
        <x:f>IF(AND(23&gt;=$C13,23&lt;=$D13),"■","")</x:f>
      </x:c>
      <x:c r="AB13" s="132" t="str">
        <x:f>IF(AND(24&gt;=$C13,24&lt;=$D13),"■","")</x:f>
      </x:c>
    </x:row>
    <x:row r="14">
      <x:c r="A14" s="163" t="str">
        <x:v>11. Reportar acumulaciones, tiraderos y obstrucciones</x:v>
      </x:c>
      <x:c r="B14" s="164" t="str">
        <x:v>Fase desarrollo</x:v>
      </x:c>
      <x:c r="C14" s="165" t="n">
        <x:v>11</x:v>
      </x:c>
      <x:c r="D14" s="165" t="n">
        <x:v>20</x:v>
      </x:c>
      <x:c r="E14" s="131" t="str">
        <x:f>IF(AND(1&gt;=$C14,1&lt;=$D14),"■","")</x:f>
      </x:c>
      <x:c r="F14" s="131" t="str">
        <x:f>IF(AND(2&gt;=$C14,2&lt;=$D14),"■","")</x:f>
      </x:c>
      <x:c r="G14" s="131" t="str">
        <x:f>IF(AND(3&gt;=$C14,3&lt;=$D14),"■","")</x:f>
      </x:c>
      <x:c r="H14" s="131" t="str">
        <x:f>IF(AND(4&gt;=$C14,4&lt;=$D14),"■","")</x:f>
      </x:c>
      <x:c r="I14" s="131" t="str">
        <x:f>IF(AND(5&gt;=$C14,5&lt;=$D14),"■","")</x:f>
      </x:c>
      <x:c r="J14" s="131" t="str">
        <x:f>IF(AND(6&gt;=$C14,6&lt;=$D14),"■","")</x:f>
      </x:c>
      <x:c r="K14" s="131" t="str">
        <x:f>IF(AND(7&gt;=$C14,7&lt;=$D14),"■","")</x:f>
      </x:c>
      <x:c r="L14" s="131" t="str">
        <x:f>IF(AND(8&gt;=$C14,8&lt;=$D14),"■","")</x:f>
      </x:c>
      <x:c r="M14" s="131" t="str">
        <x:f>IF(AND(9&gt;=$C14,9&lt;=$D14),"■","")</x:f>
      </x:c>
      <x:c r="N14" s="131" t="str">
        <x:f>IF(AND(10&gt;=$C14,10&lt;=$D14),"■","")</x:f>
      </x:c>
      <x:c r="O14" s="131" t="str">
        <x:f>IF(AND(11&gt;=$C14,11&lt;=$D14),"■","")</x:f>
        <x:v>■</x:v>
      </x:c>
      <x:c r="P14" s="131" t="str">
        <x:f>IF(AND(12&gt;=$C14,12&lt;=$D14),"■","")</x:f>
        <x:v>■</x:v>
      </x:c>
      <x:c r="Q14" s="131" t="str">
        <x:f>IF(AND(13&gt;=$C14,13&lt;=$D14),"■","")</x:f>
        <x:v>■</x:v>
      </x:c>
      <x:c r="R14" s="131" t="str">
        <x:f>IF(AND(14&gt;=$C14,14&lt;=$D14),"■","")</x:f>
        <x:v>■</x:v>
      </x:c>
      <x:c r="S14" s="131" t="str">
        <x:f>IF(AND(15&gt;=$C14,15&lt;=$D14),"■","")</x:f>
        <x:v>■</x:v>
      </x:c>
      <x:c r="T14" s="131" t="str">
        <x:f>IF(AND(16&gt;=$C14,16&lt;=$D14),"■","")</x:f>
        <x:v>■</x:v>
      </x:c>
      <x:c r="U14" s="131" t="str">
        <x:f>IF(AND(17&gt;=$C14,17&lt;=$D14),"■","")</x:f>
        <x:v>■</x:v>
      </x:c>
      <x:c r="V14" s="131" t="str">
        <x:f>IF(AND(18&gt;=$C14,18&lt;=$D14),"■","")</x:f>
        <x:v>■</x:v>
      </x:c>
      <x:c r="W14" s="131" t="str">
        <x:f>IF(AND(19&gt;=$C14,19&lt;=$D14),"■","")</x:f>
        <x:v>■</x:v>
      </x:c>
      <x:c r="X14" s="131" t="str">
        <x:f>IF(AND(20&gt;=$C14,20&lt;=$D14),"■","")</x:f>
        <x:v>■</x:v>
      </x:c>
      <x:c r="Y14" s="131" t="str">
        <x:f>IF(AND(21&gt;=$C14,21&lt;=$D14),"■","")</x:f>
      </x:c>
      <x:c r="Z14" s="131" t="str">
        <x:f>IF(AND(22&gt;=$C14,22&lt;=$D14),"■","")</x:f>
      </x:c>
      <x:c r="AA14" s="131" t="str">
        <x:f>IF(AND(23&gt;=$C14,23&lt;=$D14),"■","")</x:f>
      </x:c>
      <x:c r="AB14" s="132" t="str">
        <x:f>IF(AND(24&gt;=$C14,24&lt;=$D14),"■","")</x:f>
      </x:c>
    </x:row>
    <x:row r="15">
      <x:c r="A15" s="169" t="str">
        <x:v>12. Evaluar los resultados del proyecto</x:v>
      </x:c>
      <x:c r="B15" s="170" t="str">
        <x:v>Fase conclusión</x:v>
      </x:c>
      <x:c r="C15" s="171" t="n">
        <x:v>21</x:v>
      </x:c>
      <x:c r="D15" s="171" t="n">
        <x:v>22</x:v>
      </x:c>
      <x:c r="E15" s="131" t="str">
        <x:f>IF(AND(1&gt;=$C15,1&lt;=$D15),"■","")</x:f>
      </x:c>
      <x:c r="F15" s="131" t="str">
        <x:f>IF(AND(2&gt;=$C15,2&lt;=$D15),"■","")</x:f>
      </x:c>
      <x:c r="G15" s="131" t="str">
        <x:f>IF(AND(3&gt;=$C15,3&lt;=$D15),"■","")</x:f>
      </x:c>
      <x:c r="H15" s="131" t="str">
        <x:f>IF(AND(4&gt;=$C15,4&lt;=$D15),"■","")</x:f>
      </x:c>
      <x:c r="I15" s="131" t="str">
        <x:f>IF(AND(5&gt;=$C15,5&lt;=$D15),"■","")</x:f>
      </x:c>
      <x:c r="J15" s="131" t="str">
        <x:f>IF(AND(6&gt;=$C15,6&lt;=$D15),"■","")</x:f>
      </x:c>
      <x:c r="K15" s="131" t="str">
        <x:f>IF(AND(7&gt;=$C15,7&lt;=$D15),"■","")</x:f>
      </x:c>
      <x:c r="L15" s="131" t="str">
        <x:f>IF(AND(8&gt;=$C15,8&lt;=$D15),"■","")</x:f>
      </x:c>
      <x:c r="M15" s="131" t="str">
        <x:f>IF(AND(9&gt;=$C15,9&lt;=$D15),"■","")</x:f>
      </x:c>
      <x:c r="N15" s="131" t="str">
        <x:f>IF(AND(10&gt;=$C15,10&lt;=$D15),"■","")</x:f>
      </x:c>
      <x:c r="O15" s="131" t="str">
        <x:f>IF(AND(11&gt;=$C15,11&lt;=$D15),"■","")</x:f>
      </x:c>
      <x:c r="P15" s="131" t="str">
        <x:f>IF(AND(12&gt;=$C15,12&lt;=$D15),"■","")</x:f>
      </x:c>
      <x:c r="Q15" s="131" t="str">
        <x:f>IF(AND(13&gt;=$C15,13&lt;=$D15),"■","")</x:f>
      </x:c>
      <x:c r="R15" s="131" t="str">
        <x:f>IF(AND(14&gt;=$C15,14&lt;=$D15),"■","")</x:f>
      </x:c>
      <x:c r="S15" s="131" t="str">
        <x:f>IF(AND(15&gt;=$C15,15&lt;=$D15),"■","")</x:f>
      </x:c>
      <x:c r="T15" s="131" t="str">
        <x:f>IF(AND(16&gt;=$C15,16&lt;=$D15),"■","")</x:f>
      </x:c>
      <x:c r="U15" s="131" t="str">
        <x:f>IF(AND(17&gt;=$C15,17&lt;=$D15),"■","")</x:f>
      </x:c>
      <x:c r="V15" s="131" t="str">
        <x:f>IF(AND(18&gt;=$C15,18&lt;=$D15),"■","")</x:f>
      </x:c>
      <x:c r="W15" s="131" t="str">
        <x:f>IF(AND(19&gt;=$C15,19&lt;=$D15),"■","")</x:f>
      </x:c>
      <x:c r="X15" s="131" t="str">
        <x:f>IF(AND(20&gt;=$C15,20&lt;=$D15),"■","")</x:f>
      </x:c>
      <x:c r="Y15" s="131" t="str">
        <x:f>IF(AND(21&gt;=$C15,21&lt;=$D15),"■","")</x:f>
        <x:v>■</x:v>
      </x:c>
      <x:c r="Z15" s="131" t="str">
        <x:f>IF(AND(22&gt;=$C15,22&lt;=$D15),"■","")</x:f>
        <x:v>■</x:v>
      </x:c>
      <x:c r="AA15" s="131" t="str">
        <x:f>IF(AND(23&gt;=$C15,23&lt;=$D15),"■","")</x:f>
      </x:c>
      <x:c r="AB15" s="132" t="str">
        <x:f>IF(AND(24&gt;=$C15,24&lt;=$D15),"■","")</x:f>
      </x:c>
    </x:row>
    <x:row r="16">
      <x:c r="A16" s="175" t="str">
        <x:v>13. Elaborar informe de resultados y acciones de mejora</x:v>
      </x:c>
      <x:c r="B16" s="176" t="str">
        <x:v>Fase conclusión</x:v>
      </x:c>
      <x:c r="C16" s="177" t="n">
        <x:v>23</x:v>
      </x:c>
      <x:c r="D16" s="177" t="n">
        <x:v>24</x:v>
      </x:c>
      <x:c r="E16" s="133" t="str">
        <x:f>IF(AND(1&gt;=$C16,1&lt;=$D16),"■","")</x:f>
      </x:c>
      <x:c r="F16" s="133" t="str">
        <x:f>IF(AND(2&gt;=$C16,2&lt;=$D16),"■","")</x:f>
      </x:c>
      <x:c r="G16" s="133" t="str">
        <x:f>IF(AND(3&gt;=$C16,3&lt;=$D16),"■","")</x:f>
      </x:c>
      <x:c r="H16" s="133" t="str">
        <x:f>IF(AND(4&gt;=$C16,4&lt;=$D16),"■","")</x:f>
      </x:c>
      <x:c r="I16" s="133" t="str">
        <x:f>IF(AND(5&gt;=$C16,5&lt;=$D16),"■","")</x:f>
      </x:c>
      <x:c r="J16" s="133" t="str">
        <x:f>IF(AND(6&gt;=$C16,6&lt;=$D16),"■","")</x:f>
      </x:c>
      <x:c r="K16" s="133" t="str">
        <x:f>IF(AND(7&gt;=$C16,7&lt;=$D16),"■","")</x:f>
      </x:c>
      <x:c r="L16" s="133" t="str">
        <x:f>IF(AND(8&gt;=$C16,8&lt;=$D16),"■","")</x:f>
      </x:c>
      <x:c r="M16" s="133" t="str">
        <x:f>IF(AND(9&gt;=$C16,9&lt;=$D16),"■","")</x:f>
      </x:c>
      <x:c r="N16" s="133" t="str">
        <x:f>IF(AND(10&gt;=$C16,10&lt;=$D16),"■","")</x:f>
      </x:c>
      <x:c r="O16" s="133" t="str">
        <x:f>IF(AND(11&gt;=$C16,11&lt;=$D16),"■","")</x:f>
      </x:c>
      <x:c r="P16" s="133" t="str">
        <x:f>IF(AND(12&gt;=$C16,12&lt;=$D16),"■","")</x:f>
      </x:c>
      <x:c r="Q16" s="133" t="str">
        <x:f>IF(AND(13&gt;=$C16,13&lt;=$D16),"■","")</x:f>
      </x:c>
      <x:c r="R16" s="133" t="str">
        <x:f>IF(AND(14&gt;=$C16,14&lt;=$D16),"■","")</x:f>
      </x:c>
      <x:c r="S16" s="133" t="str">
        <x:f>IF(AND(15&gt;=$C16,15&lt;=$D16),"■","")</x:f>
      </x:c>
      <x:c r="T16" s="133" t="str">
        <x:f>IF(AND(16&gt;=$C16,16&lt;=$D16),"■","")</x:f>
      </x:c>
      <x:c r="U16" s="133" t="str">
        <x:f>IF(AND(17&gt;=$C16,17&lt;=$D16),"■","")</x:f>
      </x:c>
      <x:c r="V16" s="133" t="str">
        <x:f>IF(AND(18&gt;=$C16,18&lt;=$D16),"■","")</x:f>
      </x:c>
      <x:c r="W16" s="133" t="str">
        <x:f>IF(AND(19&gt;=$C16,19&lt;=$D16),"■","")</x:f>
      </x:c>
      <x:c r="X16" s="133" t="str">
        <x:f>IF(AND(20&gt;=$C16,20&lt;=$D16),"■","")</x:f>
      </x:c>
      <x:c r="Y16" s="133" t="str">
        <x:f>IF(AND(21&gt;=$C16,21&lt;=$D16),"■","")</x:f>
      </x:c>
      <x:c r="Z16" s="133" t="str">
        <x:f>IF(AND(22&gt;=$C16,22&lt;=$D16),"■","")</x:f>
      </x:c>
      <x:c r="AA16" s="133" t="str">
        <x:f>IF(AND(23&gt;=$C16,23&lt;=$D16),"■","")</x:f>
        <x:v>■</x:v>
      </x:c>
      <x:c r="AB16" s="134" t="str">
        <x:f>IF(AND(24&gt;=$C16,24&lt;=$D16),"■","")</x:f>
        <x:v>■</x:v>
      </x:c>
    </x:row>
  </x:sheetData>
  <x:mergeCells>
    <x:mergeCell ref="A1:A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55" hidden="0" customWidth="1"/>
  </x:cols>
  <x:sheetData>
    <x:row r="1">
      <x:c r="A1" s="6" t="str">
        <x:v>AVANCE PLANEADO DEL PROYECTO</x:v>
      </x:c>
      <x:c r="B1" s="6"/>
      <x:c r="C1" s="6"/>
      <x:c r="D1" s="6"/>
      <x:c r="E1" s="6"/>
    </x:row>
    <x:row r="3">
      <x:c r="A3" s="33" t="str">
        <x:v>Momento</x:v>
      </x:c>
      <x:c r="B3" s="34" t="str">
        <x:v>Periodo</x:v>
      </x:c>
      <x:c r="C3" s="34" t="str">
        <x:v>Avance acumulado</x:v>
      </x:c>
      <x:c r="D3" s="34" t="str">
        <x:v>Referencia</x:v>
      </x:c>
      <x:c r="E3" s="35" t="str">
        <x:v>Descripción</x:v>
      </x:c>
    </x:row>
    <x:row r="4">
      <x:c r="A4" s="185" t="str">
        <x:v>Momento 1</x:v>
      </x:c>
      <x:c r="B4" s="186" t="str">
        <x:v>Semanas 1–6</x:v>
      </x:c>
      <x:c r="C4" s="187" t="n">
        <x:v>0.25</x:v>
      </x:c>
      <x:c r="D4" s="186" t="str">
        <x:v>25%</x:v>
      </x:c>
      <x:c r="E4" s="188" t="str">
        <x:v>Diagnóstico, organización comunitaria, coordinación y preparación educativa.</x:v>
      </x:c>
    </x:row>
    <x:row r="5">
      <x:c r="A5" s="189" t="str">
        <x:v>Momento 2</x:v>
      </x:c>
      <x:c r="B5" s="50" t="str">
        <x:v>Semanas 7–12</x:v>
      </x:c>
      <x:c r="C5" s="183" t="n">
        <x:v>0.5</x:v>
      </x:c>
      <x:c r="D5" s="50" t="str">
        <x:v>50%</x:v>
      </x:c>
      <x:c r="E5" s="190" t="str">
        <x:v>Campañas, separación de residuos y primeras jornadas comunitarias.</x:v>
      </x:c>
    </x:row>
    <x:row r="6">
      <x:c r="A6" s="189" t="str">
        <x:v>Momento 3</x:v>
      </x:c>
      <x:c r="B6" s="50" t="str">
        <x:v>Semanas 13–18</x:v>
      </x:c>
      <x:c r="C6" s="183" t="n">
        <x:v>0.75</x:v>
      </x:c>
      <x:c r="D6" s="50" t="str">
        <x:v>75%</x:v>
      </x:c>
      <x:c r="E6" s="190" t="str">
        <x:v>Continuidad de limpieza, disposición, vigilancia y reportes.</x:v>
      </x:c>
    </x:row>
    <x:row r="7">
      <x:c r="A7" s="191" t="str">
        <x:v>Momento 4</x:v>
      </x:c>
      <x:c r="B7" s="192" t="str">
        <x:v>Semanas 19–24</x:v>
      </x:c>
      <x:c r="C7" s="193" t="n">
        <x:v>1</x:v>
      </x:c>
      <x:c r="D7" s="192" t="str">
        <x:v>100%</x:v>
      </x:c>
      <x:c r="E7" s="194" t="str">
        <x:v>Cierre de acciones, evaluación, informe de resultados y mejoras.</x:v>
      </x:c>
    </x:row>
    <x:row r="10">
      <x:c r="A10" s="33" t="str">
        <x:v>Fase</x:v>
      </x:c>
      <x:c r="B10" s="34" t="str">
        <x:v>Semanas</x:v>
      </x:c>
      <x:c r="C10" s="34" t="str">
        <x:v>Duración</x:v>
      </x:c>
      <x:c r="D10" s="35" t="str">
        <x:v>Porcentaje del tiempo total</x:v>
      </x:c>
    </x:row>
    <x:row r="11">
      <x:c r="A11" s="207" t="str">
        <x:v>Fase inicial</x:v>
      </x:c>
      <x:c r="B11" s="208" t="str">
        <x:v>1–4</x:v>
      </x:c>
      <x:c r="C11" s="208" t="n">
        <x:v>4</x:v>
      </x:c>
      <x:c r="D11" s="209" t="n">
        <x:v>0.16666666666666666</x:v>
      </x:c>
    </x:row>
    <x:row r="12">
      <x:c r="A12" s="210" t="str">
        <x:v>Fase desarrollo</x:v>
      </x:c>
      <x:c r="B12" s="104" t="str">
        <x:v>5–20</x:v>
      </x:c>
      <x:c r="C12" s="104" t="n">
        <x:v>16</x:v>
      </x:c>
      <x:c r="D12" s="211" t="n">
        <x:v>0.6666666666666666</x:v>
      </x:c>
    </x:row>
    <x:row r="13">
      <x:c r="A13" s="212" t="str">
        <x:v>Fase conclusión</x:v>
      </x:c>
      <x:c r="B13" s="213" t="str">
        <x:v>21–24</x:v>
      </x:c>
      <x:c r="C13" s="213" t="n">
        <x:v>4</x:v>
      </x:c>
      <x:c r="D13" s="214" t="n">
        <x:v>0.16666666666666666</x:v>
      </x:c>
    </x:row>
  </x:sheetData>
  <x:mergeCells>
    <x:mergeCell ref="A1:E1"/>
  </x:mergeCells>
  <x:conditionalFormatting sqref="C4:C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{C3035B44-1186-F5A4-8ADA-16243C9483EA}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3035B44-1186-F5A4-8ADA-16243C9483EA}">
            <x14:dataBar gradient="1">
              <x14:cfvo type="min"/>
              <x14:cfvo type="max"/>
              <x14:fillColor rgb="FFA02B93"/>
            </x14:dataBar>
          </x14:cfRule>
          <xm:sqref>C4:C7</xm:sqref>
        </x14:conditionalFormatting>
      </x14:conditionalFormattings>
    </x:ext>
  </x:extLst>
</x:worksheet>
</file>